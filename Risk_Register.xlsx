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chinverma/Downloads/GRCProject-FinSure Payments/"/>
    </mc:Choice>
  </mc:AlternateContent>
  <xr:revisionPtr revIDLastSave="0" documentId="13_ncr:1_{D7FE3BE7-4E23-7847-A181-19D8F16D910C}" xr6:coauthVersionLast="47" xr6:coauthVersionMax="47" xr10:uidLastSave="{00000000-0000-0000-0000-000000000000}"/>
  <bookViews>
    <workbookView xWindow="0" yWindow="780" windowWidth="34200" windowHeight="19920" activeTab="1" xr2:uid="{05A218F3-DF09-FC48-9827-3681161303A1}"/>
  </bookViews>
  <sheets>
    <sheet name="Risk Register" sheetId="2" r:id="rId1"/>
    <sheet name="Heat Map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3" l="1"/>
  <c r="O6" i="3"/>
  <c r="P6" i="3"/>
  <c r="Q6" i="3"/>
  <c r="N7" i="3"/>
  <c r="O7" i="3"/>
  <c r="P7" i="3"/>
  <c r="Q7" i="3"/>
  <c r="N8" i="3"/>
  <c r="O8" i="3"/>
  <c r="P8" i="3"/>
  <c r="Q8" i="3"/>
  <c r="N9" i="3"/>
  <c r="O9" i="3"/>
  <c r="P9" i="3"/>
  <c r="Q9" i="3"/>
  <c r="N10" i="3"/>
  <c r="O10" i="3"/>
  <c r="P10" i="3"/>
  <c r="Q10" i="3"/>
  <c r="M7" i="3"/>
  <c r="M8" i="3"/>
  <c r="M9" i="3"/>
  <c r="M10" i="3"/>
  <c r="M6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C7" i="3"/>
  <c r="C8" i="3"/>
  <c r="C9" i="3"/>
  <c r="C10" i="3"/>
  <c r="C6" i="3"/>
</calcChain>
</file>

<file path=xl/sharedStrings.xml><?xml version="1.0" encoding="utf-8"?>
<sst xmlns="http://schemas.openxmlformats.org/spreadsheetml/2006/main" count="244" uniqueCount="160">
  <si>
    <t>Risk ID</t>
  </si>
  <si>
    <t>Risk Description</t>
  </si>
  <si>
    <t>R01</t>
  </si>
  <si>
    <t>GDPR data breach due to unauthorised access to customer information</t>
  </si>
  <si>
    <t>Compliance Risk</t>
  </si>
  <si>
    <t>R02</t>
  </si>
  <si>
    <t>Failure to meet regulatory reporting and supervisory requirements</t>
  </si>
  <si>
    <t>R03</t>
  </si>
  <si>
    <t>Cyber attack resulting in compromise of payment systems</t>
  </si>
  <si>
    <t>Cyber and Information Technology Risk</t>
  </si>
  <si>
    <t>R04</t>
  </si>
  <si>
    <t>Cloud infrastructure outage impacting availability of payment services</t>
  </si>
  <si>
    <t>R05</t>
  </si>
  <si>
    <t>Payment processing system downtime causing transaction delays</t>
  </si>
  <si>
    <t>Operational Risk</t>
  </si>
  <si>
    <t>R06</t>
  </si>
  <si>
    <t>Inadequate incident response procedures leading to prolonged disruption</t>
  </si>
  <si>
    <t>R07</t>
  </si>
  <si>
    <t>Fraudulent transactions resulting in financial loss</t>
  </si>
  <si>
    <t>Financial Risk</t>
  </si>
  <si>
    <t>R08</t>
  </si>
  <si>
    <t>Weak financial controls leading to inaccurate financial reporting</t>
  </si>
  <si>
    <t>R09</t>
  </si>
  <si>
    <t>Inability to adapt to changes in regulatory or market conditions</t>
  </si>
  <si>
    <t>Strategic Risk</t>
  </si>
  <si>
    <t>R10</t>
  </si>
  <si>
    <t>Loss of competitive position due to emerging fintech competitors</t>
  </si>
  <si>
    <t>R11</t>
  </si>
  <si>
    <t>Negative media coverage following a security or compliance incident</t>
  </si>
  <si>
    <t>Reputational Risk</t>
  </si>
  <si>
    <t>R12</t>
  </si>
  <si>
    <t>Loss of customer trust due to repeated service failures</t>
  </si>
  <si>
    <t>Inherent Likelihood</t>
  </si>
  <si>
    <t>Inherent Impact</t>
  </si>
  <si>
    <t>Inherent Risk Score</t>
  </si>
  <si>
    <t>Existing Controls</t>
  </si>
  <si>
    <t>Residual Likelihood</t>
  </si>
  <si>
    <t>Residual Impact</t>
  </si>
  <si>
    <t>Residual Risk Score</t>
  </si>
  <si>
    <t>Risk Owner</t>
  </si>
  <si>
    <t>Risk Treatment</t>
  </si>
  <si>
    <t>Key Risk Indicator</t>
  </si>
  <si>
    <t>Head of Compliance</t>
  </si>
  <si>
    <t>Mitigate</t>
  </si>
  <si>
    <t>Number of data access violations reported</t>
  </si>
  <si>
    <t>Compliance monitoring, regulatory reporting calendar</t>
  </si>
  <si>
    <t>Compliance Manager</t>
  </si>
  <si>
    <t>Number of overdue regulatory submissions</t>
  </si>
  <si>
    <t>IT Security Manager</t>
  </si>
  <si>
    <t>Number of detected cyber security incidents</t>
  </si>
  <si>
    <t>Head of IT</t>
  </si>
  <si>
    <t>System uptime percentage</t>
  </si>
  <si>
    <t>System monitoring, incident management procedures</t>
  </si>
  <si>
    <t>Operations Manager</t>
  </si>
  <si>
    <t>Number of unplanned system outages</t>
  </si>
  <si>
    <t>Incident response plan, regular testing and reviews</t>
  </si>
  <si>
    <t>Average incident resolution time</t>
  </si>
  <si>
    <t>Transaction monitoring, fraud detection rules</t>
  </si>
  <si>
    <t>Finance Manager</t>
  </si>
  <si>
    <t>Number of confirmed fraudulent transactions</t>
  </si>
  <si>
    <t>Segregation of duties, internal reviews, audits</t>
  </si>
  <si>
    <t>Finance Controller</t>
  </si>
  <si>
    <t>Number of audit findings related to financial controls</t>
  </si>
  <si>
    <t>Regulatory horizon scanning, strategic planning reviews</t>
  </si>
  <si>
    <t>Executive Management</t>
  </si>
  <si>
    <t>Number of unaddressed regulatory changes</t>
  </si>
  <si>
    <t>Market analysis, product innovation initiatives</t>
  </si>
  <si>
    <t>Chief Executive Officer</t>
  </si>
  <si>
    <t>Accept</t>
  </si>
  <si>
    <t>Market share trends</t>
  </si>
  <si>
    <t>Crisis communication plan, media management procedures</t>
  </si>
  <si>
    <t>Head of Communications</t>
  </si>
  <si>
    <t>Volume of negative media mentions</t>
  </si>
  <si>
    <t>Service quality monitoring, customer support escalation</t>
  </si>
  <si>
    <t>Customer Experience Manager</t>
  </si>
  <si>
    <t>Customer complaint volumes</t>
  </si>
  <si>
    <t>R13</t>
  </si>
  <si>
    <t>R14</t>
  </si>
  <si>
    <t>R15</t>
  </si>
  <si>
    <t>R16</t>
  </si>
  <si>
    <t>R17</t>
  </si>
  <si>
    <t>Loss of sensitive customer data due to inadequate protection of information assets</t>
  </si>
  <si>
    <t>Unauthorised access to critical IT systems resulting in compromise of core business assets</t>
  </si>
  <si>
    <t>Failure or degradation of core IT infrastructure assets impacting service availability</t>
  </si>
  <si>
    <t>Inadequate asset inventory leading to unmanaged or unprotected information and technology assets</t>
  </si>
  <si>
    <t>Obsolescence of key technology assets increasing security vulnerabilities and operational disruption</t>
  </si>
  <si>
    <t>Primary Risk Category</t>
  </si>
  <si>
    <t>Secondary Risk Category</t>
  </si>
  <si>
    <t>Customer Experience Risk</t>
  </si>
  <si>
    <t>R18</t>
  </si>
  <si>
    <t>Unauthorised physical access to office premises leading to theft or misuse of information assets</t>
  </si>
  <si>
    <t>R19</t>
  </si>
  <si>
    <t>Inadequate physical security controls at data centre locations resulting in exposure of critical infrastructure</t>
  </si>
  <si>
    <t>R20</t>
  </si>
  <si>
    <t>Weak user authentication controls enabling unauthorised logical access to systems and applications</t>
  </si>
  <si>
    <t>R21</t>
  </si>
  <si>
    <t>R22</t>
  </si>
  <si>
    <t>Failure to revoke system access promptly for leavers or role changes resulting in unauthorised system use</t>
  </si>
  <si>
    <t>R23</t>
  </si>
  <si>
    <t>Data breach at a third party service provider resulting in exposure of customer or transaction data</t>
  </si>
  <si>
    <t>Third Party and Vendor Risk</t>
  </si>
  <si>
    <t>R24</t>
  </si>
  <si>
    <t>Inadequate logical access controls at a vendor enabling unauthorised access to organisational systems or data</t>
  </si>
  <si>
    <t>R25</t>
  </si>
  <si>
    <t>Service outage at a critical third party provider impacting availability of core business services</t>
  </si>
  <si>
    <t>R26</t>
  </si>
  <si>
    <t>Over reliance on a single critical vendor creating concentration risk and reduced operational resilience</t>
  </si>
  <si>
    <t>R27</t>
  </si>
  <si>
    <t>Failure of a third party to meet contractual security or regulatory obligations</t>
  </si>
  <si>
    <t>R28</t>
  </si>
  <si>
    <t>Delayed incident response or poor communication from a vendor during a security or service disruption</t>
  </si>
  <si>
    <t>Absence or inadequacy of a Business Continuity Plan resulting in inability to respond effectively to major operational or technology disruptions</t>
  </si>
  <si>
    <t>Data protection policy, role based access controls, multi factor authentication, encryption of data at rest and in transit, mandatory staff data protection training, periodic access reviews</t>
  </si>
  <si>
    <t>Network firewalls, intrusion detection and prevention systems, security monitoring and alerting, regular vulnerability scanning, employee security awareness training</t>
  </si>
  <si>
    <t>Cloud redundancy and failover configuration, service level agreements with cloud providers, real time system monitoring, incident escalation procedures</t>
  </si>
  <si>
    <t>Business Continuity Plan, disaster recovery arrangements, data backup procedures, periodic business continuity testing</t>
  </si>
  <si>
    <t>Third party due diligence assessments, contractual data protection clauses, vendor security reviews, ongoing vendor risk monitoring</t>
  </si>
  <si>
    <t>Information classification scheme, data handling standards, access management controls, secure storage and disposal procedures</t>
  </si>
  <si>
    <t>Head of Information Security</t>
  </si>
  <si>
    <t>Number of data handling policy breaches</t>
  </si>
  <si>
    <t>Role based access controls, multi factor authentication, centralised identity management, periodic access reviews</t>
  </si>
  <si>
    <t>Number of unauthorised access attempts detected</t>
  </si>
  <si>
    <t>Infrastructure monitoring, preventative maintenance, capacity management, redundancy controls</t>
  </si>
  <si>
    <t>Percentage of critical infrastructure uptime</t>
  </si>
  <si>
    <t>Centralised asset register, periodic asset reconciliation, ownership assignment</t>
  </si>
  <si>
    <t>IT Operations Manager</t>
  </si>
  <si>
    <t>Percentage of assets reviewed and validated</t>
  </si>
  <si>
    <t>Technology lifecycle management, patch management processes, strategic IT roadmap</t>
  </si>
  <si>
    <t>Chief Information Officer</t>
  </si>
  <si>
    <t>Number of unsupported systems in use</t>
  </si>
  <si>
    <t>Secure entry controls, visitor management procedures, CCTV monitoring, staff awareness training</t>
  </si>
  <si>
    <t>Facilities Manager</t>
  </si>
  <si>
    <t>Number of physical security incidents reported</t>
  </si>
  <si>
    <t>Data centre access restrictions, security monitoring, third party certifications, periodic security audits</t>
  </si>
  <si>
    <t>Number of data centre security audit findings</t>
  </si>
  <si>
    <t>Multi factor authentication, password standards, centralised identity and access management, periodic access certification</t>
  </si>
  <si>
    <t>Number of failed authentication attempts</t>
  </si>
  <si>
    <t>Leaver and joiner processes, HR and IT access integration, periodic access reviews</t>
  </si>
  <si>
    <t>HR Operations Manager</t>
  </si>
  <si>
    <t>Number of overdue access removals</t>
  </si>
  <si>
    <t>Vendor Risk Manager</t>
  </si>
  <si>
    <t>Number of high risk vendor findings</t>
  </si>
  <si>
    <t>Vendor access controls, least privilege access, contractual access requirements, vendor audits</t>
  </si>
  <si>
    <t>Number of vendor access control exceptions</t>
  </si>
  <si>
    <t>Service level agreements, resilience requirements, vendor monitoring, incident escalation processes</t>
  </si>
  <si>
    <t>Number of critical vendor outages</t>
  </si>
  <si>
    <t>Vendor diversification strategy, contingency planning, periodic dependency reviews</t>
  </si>
  <si>
    <t>Percentage of services dependent on single vendors</t>
  </si>
  <si>
    <t>Contractual compliance clauses, vendor assurance reviews, issue remediation tracking</t>
  </si>
  <si>
    <t>Number of unresolved vendor compliance issues</t>
  </si>
  <si>
    <t>Incident response coordination procedures, communication protocols, contractual escalation requirements</t>
  </si>
  <si>
    <t>Average vendor incident response time</t>
  </si>
  <si>
    <t>Head of Operations</t>
  </si>
  <si>
    <t>Business continuity test success rate</t>
  </si>
  <si>
    <t>Inherent Risk Heat Map</t>
  </si>
  <si>
    <t>Inherent Impact scale</t>
  </si>
  <si>
    <t>Inherent Likelihood scale</t>
  </si>
  <si>
    <t>Residual Risk Heat Map</t>
  </si>
  <si>
    <t>Residual Likelihood Scale</t>
  </si>
  <si>
    <t>Residual Impact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</si>
</sst>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6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45B5A-D52A-2448-9321-E656C7346CCF}">
  <dimension ref="A1:O30"/>
  <sheetViews>
    <sheetView workbookViewId="0">
      <selection activeCell="G36" sqref="G36"/>
    </sheetView>
  </sheetViews>
  <sheetFormatPr baseColWidth="10" defaultRowHeight="16" x14ac:dyDescent="0.2"/>
  <cols>
    <col min="2" max="2" width="94.5" bestFit="1" customWidth="1"/>
    <col min="3" max="3" width="37.83203125" bestFit="1" customWidth="1"/>
    <col min="4" max="4" width="37.83203125" customWidth="1"/>
    <col min="5" max="5" width="19.33203125" bestFit="1" customWidth="1"/>
    <col min="6" max="6" width="16" bestFit="1" customWidth="1"/>
    <col min="7" max="7" width="20.1640625" bestFit="1" customWidth="1"/>
    <col min="8" max="8" width="74.6640625" customWidth="1"/>
    <col min="9" max="9" width="19.83203125" bestFit="1" customWidth="1"/>
    <col min="10" max="10" width="16.6640625" bestFit="1" customWidth="1"/>
    <col min="11" max="11" width="20.6640625" bestFit="1" customWidth="1"/>
    <col min="12" max="12" width="26.1640625" bestFit="1" customWidth="1"/>
    <col min="13" max="13" width="15.83203125" bestFit="1" customWidth="1"/>
    <col min="14" max="14" width="44" bestFit="1" customWidth="1"/>
  </cols>
  <sheetData>
    <row r="1" spans="1:15" x14ac:dyDescent="0.2">
      <c r="A1" s="2" t="s">
        <v>0</v>
      </c>
      <c r="B1" s="2" t="s">
        <v>1</v>
      </c>
      <c r="C1" s="2" t="s">
        <v>86</v>
      </c>
      <c r="D1" s="2" t="s">
        <v>87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</row>
    <row r="2" spans="1:15" x14ac:dyDescent="0.2">
      <c r="A2" s="3" t="s">
        <v>2</v>
      </c>
      <c r="B2" s="3" t="s">
        <v>3</v>
      </c>
      <c r="C2" s="3" t="s">
        <v>4</v>
      </c>
      <c r="D2" s="3" t="s">
        <v>29</v>
      </c>
      <c r="E2" s="3">
        <v>4</v>
      </c>
      <c r="F2" s="3">
        <v>5</v>
      </c>
      <c r="G2" s="3">
        <v>20</v>
      </c>
      <c r="H2" s="3" t="s">
        <v>112</v>
      </c>
      <c r="I2" s="3">
        <v>2</v>
      </c>
      <c r="J2" s="3">
        <v>4</v>
      </c>
      <c r="K2" s="3">
        <v>8</v>
      </c>
      <c r="L2" s="3" t="s">
        <v>42</v>
      </c>
      <c r="M2" s="3" t="s">
        <v>43</v>
      </c>
      <c r="N2" s="3" t="s">
        <v>44</v>
      </c>
      <c r="O2" s="1"/>
    </row>
    <row r="3" spans="1:15" x14ac:dyDescent="0.2">
      <c r="A3" s="3" t="s">
        <v>5</v>
      </c>
      <c r="B3" s="3" t="s">
        <v>6</v>
      </c>
      <c r="C3" s="3" t="s">
        <v>4</v>
      </c>
      <c r="D3" s="3" t="s">
        <v>24</v>
      </c>
      <c r="E3" s="3">
        <v>3</v>
      </c>
      <c r="F3" s="3">
        <v>4</v>
      </c>
      <c r="G3" s="3">
        <v>12</v>
      </c>
      <c r="H3" s="3" t="s">
        <v>45</v>
      </c>
      <c r="I3" s="3">
        <v>2</v>
      </c>
      <c r="J3" s="3">
        <v>3</v>
      </c>
      <c r="K3" s="3">
        <v>6</v>
      </c>
      <c r="L3" s="3" t="s">
        <v>46</v>
      </c>
      <c r="M3" s="3" t="s">
        <v>43</v>
      </c>
      <c r="N3" s="3" t="s">
        <v>47</v>
      </c>
      <c r="O3" s="1"/>
    </row>
    <row r="4" spans="1:15" x14ac:dyDescent="0.2">
      <c r="A4" s="3" t="s">
        <v>7</v>
      </c>
      <c r="B4" s="3" t="s">
        <v>8</v>
      </c>
      <c r="C4" s="3" t="s">
        <v>9</v>
      </c>
      <c r="D4" s="3" t="s">
        <v>29</v>
      </c>
      <c r="E4" s="3">
        <v>4</v>
      </c>
      <c r="F4" s="3">
        <v>5</v>
      </c>
      <c r="G4" s="3">
        <v>20</v>
      </c>
      <c r="H4" s="3" t="s">
        <v>113</v>
      </c>
      <c r="I4" s="3">
        <v>2</v>
      </c>
      <c r="J4" s="3">
        <v>4</v>
      </c>
      <c r="K4" s="3">
        <v>8</v>
      </c>
      <c r="L4" s="3" t="s">
        <v>48</v>
      </c>
      <c r="M4" s="3" t="s">
        <v>43</v>
      </c>
      <c r="N4" s="3" t="s">
        <v>49</v>
      </c>
      <c r="O4" s="1"/>
    </row>
    <row r="5" spans="1:15" x14ac:dyDescent="0.2">
      <c r="A5" s="3" t="s">
        <v>10</v>
      </c>
      <c r="B5" s="3" t="s">
        <v>11</v>
      </c>
      <c r="C5" s="3" t="s">
        <v>9</v>
      </c>
      <c r="D5" s="3" t="s">
        <v>88</v>
      </c>
      <c r="E5" s="3">
        <v>3</v>
      </c>
      <c r="F5" s="3">
        <v>4</v>
      </c>
      <c r="G5" s="3">
        <v>12</v>
      </c>
      <c r="H5" s="3" t="s">
        <v>114</v>
      </c>
      <c r="I5" s="3">
        <v>2</v>
      </c>
      <c r="J5" s="3">
        <v>3</v>
      </c>
      <c r="K5" s="3">
        <v>6</v>
      </c>
      <c r="L5" s="3" t="s">
        <v>50</v>
      </c>
      <c r="M5" s="3" t="s">
        <v>43</v>
      </c>
      <c r="N5" s="3" t="s">
        <v>51</v>
      </c>
      <c r="O5" s="1"/>
    </row>
    <row r="6" spans="1:15" x14ac:dyDescent="0.2">
      <c r="A6" s="3" t="s">
        <v>12</v>
      </c>
      <c r="B6" s="3" t="s">
        <v>13</v>
      </c>
      <c r="C6" s="3" t="s">
        <v>14</v>
      </c>
      <c r="D6" s="3" t="s">
        <v>29</v>
      </c>
      <c r="E6" s="3">
        <v>3</v>
      </c>
      <c r="F6" s="3">
        <v>4</v>
      </c>
      <c r="G6" s="3">
        <v>12</v>
      </c>
      <c r="H6" s="3" t="s">
        <v>52</v>
      </c>
      <c r="I6" s="3">
        <v>2</v>
      </c>
      <c r="J6" s="3">
        <v>3</v>
      </c>
      <c r="K6" s="3">
        <v>6</v>
      </c>
      <c r="L6" s="3" t="s">
        <v>53</v>
      </c>
      <c r="M6" s="3" t="s">
        <v>43</v>
      </c>
      <c r="N6" s="3" t="s">
        <v>54</v>
      </c>
      <c r="O6" s="1"/>
    </row>
    <row r="7" spans="1:15" x14ac:dyDescent="0.2">
      <c r="A7" s="3" t="s">
        <v>15</v>
      </c>
      <c r="B7" s="3" t="s">
        <v>16</v>
      </c>
      <c r="C7" s="3" t="s">
        <v>14</v>
      </c>
      <c r="D7" s="3" t="s">
        <v>24</v>
      </c>
      <c r="E7" s="3">
        <v>3</v>
      </c>
      <c r="F7" s="3">
        <v>3</v>
      </c>
      <c r="G7" s="3">
        <v>9</v>
      </c>
      <c r="H7" s="3" t="s">
        <v>55</v>
      </c>
      <c r="I7" s="3">
        <v>2</v>
      </c>
      <c r="J7" s="3">
        <v>3</v>
      </c>
      <c r="K7" s="3">
        <v>6</v>
      </c>
      <c r="L7" s="3" t="s">
        <v>53</v>
      </c>
      <c r="M7" s="3" t="s">
        <v>43</v>
      </c>
      <c r="N7" s="3" t="s">
        <v>56</v>
      </c>
      <c r="O7" s="1"/>
    </row>
    <row r="8" spans="1:15" x14ac:dyDescent="0.2">
      <c r="A8" s="3" t="s">
        <v>17</v>
      </c>
      <c r="B8" s="3" t="s">
        <v>18</v>
      </c>
      <c r="C8" s="3" t="s">
        <v>19</v>
      </c>
      <c r="D8" s="3" t="s">
        <v>29</v>
      </c>
      <c r="E8" s="3">
        <v>4</v>
      </c>
      <c r="F8" s="3">
        <v>4</v>
      </c>
      <c r="G8" s="3">
        <v>16</v>
      </c>
      <c r="H8" s="3" t="s">
        <v>57</v>
      </c>
      <c r="I8" s="3">
        <v>2</v>
      </c>
      <c r="J8" s="3">
        <v>3</v>
      </c>
      <c r="K8" s="3">
        <v>6</v>
      </c>
      <c r="L8" s="3" t="s">
        <v>58</v>
      </c>
      <c r="M8" s="3" t="s">
        <v>43</v>
      </c>
      <c r="N8" s="3" t="s">
        <v>59</v>
      </c>
      <c r="O8" s="1"/>
    </row>
    <row r="9" spans="1:15" x14ac:dyDescent="0.2">
      <c r="A9" s="3" t="s">
        <v>20</v>
      </c>
      <c r="B9" s="3" t="s">
        <v>21</v>
      </c>
      <c r="C9" s="3" t="s">
        <v>19</v>
      </c>
      <c r="D9" s="3" t="s">
        <v>4</v>
      </c>
      <c r="E9" s="3">
        <v>3</v>
      </c>
      <c r="F9" s="3">
        <v>4</v>
      </c>
      <c r="G9" s="3">
        <v>12</v>
      </c>
      <c r="H9" s="3" t="s">
        <v>60</v>
      </c>
      <c r="I9" s="3">
        <v>2</v>
      </c>
      <c r="J9" s="3">
        <v>3</v>
      </c>
      <c r="K9" s="3">
        <v>6</v>
      </c>
      <c r="L9" s="3" t="s">
        <v>61</v>
      </c>
      <c r="M9" s="3" t="s">
        <v>43</v>
      </c>
      <c r="N9" s="3" t="s">
        <v>62</v>
      </c>
      <c r="O9" s="1"/>
    </row>
    <row r="10" spans="1:15" x14ac:dyDescent="0.2">
      <c r="A10" s="3" t="s">
        <v>22</v>
      </c>
      <c r="B10" s="3" t="s">
        <v>23</v>
      </c>
      <c r="C10" s="3" t="s">
        <v>24</v>
      </c>
      <c r="D10" s="3" t="s">
        <v>19</v>
      </c>
      <c r="E10" s="3">
        <v>3</v>
      </c>
      <c r="F10" s="3">
        <v>4</v>
      </c>
      <c r="G10" s="3">
        <v>12</v>
      </c>
      <c r="H10" s="3" t="s">
        <v>63</v>
      </c>
      <c r="I10" s="3">
        <v>2</v>
      </c>
      <c r="J10" s="3">
        <v>3</v>
      </c>
      <c r="K10" s="3">
        <v>6</v>
      </c>
      <c r="L10" s="3" t="s">
        <v>64</v>
      </c>
      <c r="M10" s="3" t="s">
        <v>43</v>
      </c>
      <c r="N10" s="3" t="s">
        <v>65</v>
      </c>
      <c r="O10" s="1"/>
    </row>
    <row r="11" spans="1:15" x14ac:dyDescent="0.2">
      <c r="A11" s="3" t="s">
        <v>25</v>
      </c>
      <c r="B11" s="3" t="s">
        <v>26</v>
      </c>
      <c r="C11" s="3" t="s">
        <v>24</v>
      </c>
      <c r="D11" s="3" t="s">
        <v>29</v>
      </c>
      <c r="E11" s="3">
        <v>3</v>
      </c>
      <c r="F11" s="3">
        <v>3</v>
      </c>
      <c r="G11" s="3">
        <v>9</v>
      </c>
      <c r="H11" s="3" t="s">
        <v>66</v>
      </c>
      <c r="I11" s="3">
        <v>2</v>
      </c>
      <c r="J11" s="3">
        <v>3</v>
      </c>
      <c r="K11" s="3">
        <v>6</v>
      </c>
      <c r="L11" s="3" t="s">
        <v>67</v>
      </c>
      <c r="M11" s="3" t="s">
        <v>68</v>
      </c>
      <c r="N11" s="3" t="s">
        <v>69</v>
      </c>
      <c r="O11" s="1"/>
    </row>
    <row r="12" spans="1:15" x14ac:dyDescent="0.2">
      <c r="A12" s="3" t="s">
        <v>27</v>
      </c>
      <c r="B12" s="3" t="s">
        <v>28</v>
      </c>
      <c r="C12" s="3" t="s">
        <v>29</v>
      </c>
      <c r="D12" s="3" t="s">
        <v>24</v>
      </c>
      <c r="E12" s="3">
        <v>3</v>
      </c>
      <c r="F12" s="3">
        <v>4</v>
      </c>
      <c r="G12" s="3">
        <v>12</v>
      </c>
      <c r="H12" s="3" t="s">
        <v>70</v>
      </c>
      <c r="I12" s="3">
        <v>2</v>
      </c>
      <c r="J12" s="3">
        <v>3</v>
      </c>
      <c r="K12" s="3">
        <v>6</v>
      </c>
      <c r="L12" s="3" t="s">
        <v>71</v>
      </c>
      <c r="M12" s="3" t="s">
        <v>43</v>
      </c>
      <c r="N12" s="3" t="s">
        <v>72</v>
      </c>
      <c r="O12" s="1"/>
    </row>
    <row r="13" spans="1:15" x14ac:dyDescent="0.2">
      <c r="A13" s="3" t="s">
        <v>30</v>
      </c>
      <c r="B13" s="3" t="s">
        <v>31</v>
      </c>
      <c r="C13" s="3" t="s">
        <v>29</v>
      </c>
      <c r="D13" s="3" t="s">
        <v>19</v>
      </c>
      <c r="E13" s="3">
        <v>3</v>
      </c>
      <c r="F13" s="3">
        <v>4</v>
      </c>
      <c r="G13" s="3">
        <v>12</v>
      </c>
      <c r="H13" s="3" t="s">
        <v>73</v>
      </c>
      <c r="I13" s="3">
        <v>2</v>
      </c>
      <c r="J13" s="3">
        <v>3</v>
      </c>
      <c r="K13" s="3">
        <v>6</v>
      </c>
      <c r="L13" s="3" t="s">
        <v>74</v>
      </c>
      <c r="M13" s="3" t="s">
        <v>43</v>
      </c>
      <c r="N13" s="3" t="s">
        <v>75</v>
      </c>
      <c r="O13" s="1"/>
    </row>
    <row r="14" spans="1:15" x14ac:dyDescent="0.2">
      <c r="A14" s="3" t="s">
        <v>76</v>
      </c>
      <c r="B14" s="3" t="s">
        <v>81</v>
      </c>
      <c r="C14" s="3" t="s">
        <v>9</v>
      </c>
      <c r="D14" s="3" t="s">
        <v>29</v>
      </c>
      <c r="E14" s="3">
        <v>4</v>
      </c>
      <c r="F14" s="3">
        <v>5</v>
      </c>
      <c r="G14" s="3">
        <v>20</v>
      </c>
      <c r="H14" s="3" t="s">
        <v>117</v>
      </c>
      <c r="I14" s="3">
        <v>2</v>
      </c>
      <c r="J14" s="3">
        <v>4</v>
      </c>
      <c r="K14" s="3">
        <v>8</v>
      </c>
      <c r="L14" s="3" t="s">
        <v>118</v>
      </c>
      <c r="M14" s="3" t="s">
        <v>43</v>
      </c>
      <c r="N14" s="3" t="s">
        <v>119</v>
      </c>
      <c r="O14" s="1"/>
    </row>
    <row r="15" spans="1:15" x14ac:dyDescent="0.2">
      <c r="A15" s="3" t="s">
        <v>77</v>
      </c>
      <c r="B15" s="3" t="s">
        <v>82</v>
      </c>
      <c r="C15" s="3" t="s">
        <v>9</v>
      </c>
      <c r="D15" s="3" t="s">
        <v>4</v>
      </c>
      <c r="E15" s="3">
        <v>4</v>
      </c>
      <c r="F15" s="3">
        <v>5</v>
      </c>
      <c r="G15" s="3">
        <v>20</v>
      </c>
      <c r="H15" s="3" t="s">
        <v>120</v>
      </c>
      <c r="I15" s="3">
        <v>2</v>
      </c>
      <c r="J15" s="3">
        <v>4</v>
      </c>
      <c r="K15" s="3">
        <v>8</v>
      </c>
      <c r="L15" s="3" t="s">
        <v>48</v>
      </c>
      <c r="M15" s="3" t="s">
        <v>43</v>
      </c>
      <c r="N15" s="3" t="s">
        <v>121</v>
      </c>
      <c r="O15" s="1"/>
    </row>
    <row r="16" spans="1:15" x14ac:dyDescent="0.2">
      <c r="A16" s="3" t="s">
        <v>78</v>
      </c>
      <c r="B16" s="3" t="s">
        <v>83</v>
      </c>
      <c r="C16" s="3" t="s">
        <v>14</v>
      </c>
      <c r="D16" s="3" t="s">
        <v>24</v>
      </c>
      <c r="E16" s="3">
        <v>3</v>
      </c>
      <c r="F16" s="3">
        <v>4</v>
      </c>
      <c r="G16" s="3">
        <v>12</v>
      </c>
      <c r="H16" s="3" t="s">
        <v>122</v>
      </c>
      <c r="I16" s="3">
        <v>2</v>
      </c>
      <c r="J16" s="3">
        <v>3</v>
      </c>
      <c r="K16" s="3">
        <v>6</v>
      </c>
      <c r="L16" s="3" t="s">
        <v>50</v>
      </c>
      <c r="M16" s="3" t="s">
        <v>43</v>
      </c>
      <c r="N16" s="3" t="s">
        <v>123</v>
      </c>
      <c r="O16" s="1"/>
    </row>
    <row r="17" spans="1:15" x14ac:dyDescent="0.2">
      <c r="A17" s="3" t="s">
        <v>79</v>
      </c>
      <c r="B17" s="3" t="s">
        <v>84</v>
      </c>
      <c r="C17" s="3" t="s">
        <v>14</v>
      </c>
      <c r="D17" s="3" t="s">
        <v>4</v>
      </c>
      <c r="E17" s="3">
        <v>3</v>
      </c>
      <c r="F17" s="3">
        <v>3</v>
      </c>
      <c r="G17" s="3">
        <v>9</v>
      </c>
      <c r="H17" s="3" t="s">
        <v>124</v>
      </c>
      <c r="I17" s="3">
        <v>2</v>
      </c>
      <c r="J17" s="3">
        <v>3</v>
      </c>
      <c r="K17" s="3">
        <v>6</v>
      </c>
      <c r="L17" s="3" t="s">
        <v>125</v>
      </c>
      <c r="M17" s="3" t="s">
        <v>43</v>
      </c>
      <c r="N17" s="3" t="s">
        <v>126</v>
      </c>
      <c r="O17" s="1"/>
    </row>
    <row r="18" spans="1:15" x14ac:dyDescent="0.2">
      <c r="A18" s="3" t="s">
        <v>80</v>
      </c>
      <c r="B18" s="3" t="s">
        <v>85</v>
      </c>
      <c r="C18" s="3" t="s">
        <v>24</v>
      </c>
      <c r="D18" s="3" t="s">
        <v>9</v>
      </c>
      <c r="E18" s="3">
        <v>3</v>
      </c>
      <c r="F18" s="3">
        <v>4</v>
      </c>
      <c r="G18" s="3">
        <v>12</v>
      </c>
      <c r="H18" s="3" t="s">
        <v>127</v>
      </c>
      <c r="I18" s="3">
        <v>2</v>
      </c>
      <c r="J18" s="3">
        <v>3</v>
      </c>
      <c r="K18" s="3">
        <v>6</v>
      </c>
      <c r="L18" s="3" t="s">
        <v>128</v>
      </c>
      <c r="M18" s="3" t="s">
        <v>43</v>
      </c>
      <c r="N18" s="3" t="s">
        <v>129</v>
      </c>
      <c r="O18" s="1"/>
    </row>
    <row r="19" spans="1:15" x14ac:dyDescent="0.2">
      <c r="A19" s="3" t="s">
        <v>89</v>
      </c>
      <c r="B19" s="3" t="s">
        <v>90</v>
      </c>
      <c r="C19" s="3" t="s">
        <v>9</v>
      </c>
      <c r="D19" s="3" t="s">
        <v>14</v>
      </c>
      <c r="E19" s="3">
        <v>3</v>
      </c>
      <c r="F19" s="3">
        <v>4</v>
      </c>
      <c r="G19" s="3">
        <v>12</v>
      </c>
      <c r="H19" s="3" t="s">
        <v>130</v>
      </c>
      <c r="I19" s="3">
        <v>2</v>
      </c>
      <c r="J19" s="3">
        <v>3</v>
      </c>
      <c r="K19" s="3">
        <v>6</v>
      </c>
      <c r="L19" s="3" t="s">
        <v>131</v>
      </c>
      <c r="M19" s="3" t="s">
        <v>43</v>
      </c>
      <c r="N19" s="3" t="s">
        <v>132</v>
      </c>
      <c r="O19" s="1"/>
    </row>
    <row r="20" spans="1:15" x14ac:dyDescent="0.2">
      <c r="A20" s="3" t="s">
        <v>91</v>
      </c>
      <c r="B20" s="3" t="s">
        <v>92</v>
      </c>
      <c r="C20" s="3" t="s">
        <v>9</v>
      </c>
      <c r="D20" s="3" t="s">
        <v>4</v>
      </c>
      <c r="E20" s="3">
        <v>3</v>
      </c>
      <c r="F20" s="3">
        <v>5</v>
      </c>
      <c r="G20" s="3">
        <v>15</v>
      </c>
      <c r="H20" s="3" t="s">
        <v>133</v>
      </c>
      <c r="I20" s="3">
        <v>2</v>
      </c>
      <c r="J20" s="3">
        <v>4</v>
      </c>
      <c r="K20" s="3">
        <v>8</v>
      </c>
      <c r="L20" s="3" t="s">
        <v>50</v>
      </c>
      <c r="M20" s="3" t="s">
        <v>43</v>
      </c>
      <c r="N20" s="3" t="s">
        <v>134</v>
      </c>
      <c r="O20" s="1"/>
    </row>
    <row r="21" spans="1:15" x14ac:dyDescent="0.2">
      <c r="A21" s="3" t="s">
        <v>93</v>
      </c>
      <c r="B21" s="3" t="s">
        <v>94</v>
      </c>
      <c r="C21" s="3" t="s">
        <v>9</v>
      </c>
      <c r="D21" s="3" t="s">
        <v>29</v>
      </c>
      <c r="E21" s="3">
        <v>4</v>
      </c>
      <c r="F21" s="3">
        <v>5</v>
      </c>
      <c r="G21" s="3">
        <v>20</v>
      </c>
      <c r="H21" s="3" t="s">
        <v>135</v>
      </c>
      <c r="I21" s="3">
        <v>2</v>
      </c>
      <c r="J21" s="3">
        <v>4</v>
      </c>
      <c r="K21" s="3">
        <v>8</v>
      </c>
      <c r="L21" s="3" t="s">
        <v>48</v>
      </c>
      <c r="M21" s="3" t="s">
        <v>43</v>
      </c>
      <c r="N21" s="3" t="s">
        <v>136</v>
      </c>
      <c r="O21" s="1"/>
    </row>
    <row r="22" spans="1:15" x14ac:dyDescent="0.2">
      <c r="A22" s="3" t="s">
        <v>95</v>
      </c>
      <c r="B22" s="3" t="s">
        <v>97</v>
      </c>
      <c r="C22" s="3" t="s">
        <v>14</v>
      </c>
      <c r="D22" s="3" t="s">
        <v>9</v>
      </c>
      <c r="E22" s="3">
        <v>3</v>
      </c>
      <c r="F22" s="3">
        <v>4</v>
      </c>
      <c r="G22" s="3">
        <v>12</v>
      </c>
      <c r="H22" s="3" t="s">
        <v>137</v>
      </c>
      <c r="I22" s="3">
        <v>2</v>
      </c>
      <c r="J22" s="3">
        <v>3</v>
      </c>
      <c r="K22" s="3">
        <v>6</v>
      </c>
      <c r="L22" s="3" t="s">
        <v>138</v>
      </c>
      <c r="M22" s="3" t="s">
        <v>43</v>
      </c>
      <c r="N22" s="3" t="s">
        <v>139</v>
      </c>
      <c r="O22" s="1"/>
    </row>
    <row r="23" spans="1:15" x14ac:dyDescent="0.2">
      <c r="A23" s="3" t="s">
        <v>96</v>
      </c>
      <c r="B23" s="3" t="s">
        <v>99</v>
      </c>
      <c r="C23" s="3" t="s">
        <v>100</v>
      </c>
      <c r="D23" s="3" t="s">
        <v>4</v>
      </c>
      <c r="E23" s="3">
        <v>3</v>
      </c>
      <c r="F23" s="3">
        <v>5</v>
      </c>
      <c r="G23" s="3">
        <v>15</v>
      </c>
      <c r="H23" s="3" t="s">
        <v>116</v>
      </c>
      <c r="I23" s="3">
        <v>2</v>
      </c>
      <c r="J23" s="3">
        <v>4</v>
      </c>
      <c r="K23" s="3">
        <v>8</v>
      </c>
      <c r="L23" s="3" t="s">
        <v>140</v>
      </c>
      <c r="M23" s="3" t="s">
        <v>43</v>
      </c>
      <c r="N23" s="3" t="s">
        <v>141</v>
      </c>
      <c r="O23" s="1"/>
    </row>
    <row r="24" spans="1:15" x14ac:dyDescent="0.2">
      <c r="A24" s="3" t="s">
        <v>98</v>
      </c>
      <c r="B24" s="3" t="s">
        <v>102</v>
      </c>
      <c r="C24" s="3" t="s">
        <v>100</v>
      </c>
      <c r="D24" s="3" t="s">
        <v>9</v>
      </c>
      <c r="E24" s="3">
        <v>3</v>
      </c>
      <c r="F24" s="3">
        <v>4</v>
      </c>
      <c r="G24" s="3">
        <v>12</v>
      </c>
      <c r="H24" s="3" t="s">
        <v>142</v>
      </c>
      <c r="I24" s="3">
        <v>2</v>
      </c>
      <c r="J24" s="3">
        <v>3</v>
      </c>
      <c r="K24" s="3">
        <v>6</v>
      </c>
      <c r="L24" s="3" t="s">
        <v>140</v>
      </c>
      <c r="M24" s="3" t="s">
        <v>43</v>
      </c>
      <c r="N24" s="3" t="s">
        <v>143</v>
      </c>
      <c r="O24" s="1"/>
    </row>
    <row r="25" spans="1:15" x14ac:dyDescent="0.2">
      <c r="A25" s="3" t="s">
        <v>101</v>
      </c>
      <c r="B25" s="3" t="s">
        <v>104</v>
      </c>
      <c r="C25" s="3" t="s">
        <v>100</v>
      </c>
      <c r="D25" s="3" t="s">
        <v>14</v>
      </c>
      <c r="E25" s="3">
        <v>3</v>
      </c>
      <c r="F25" s="3">
        <v>4</v>
      </c>
      <c r="G25" s="3">
        <v>12</v>
      </c>
      <c r="H25" s="3" t="s">
        <v>144</v>
      </c>
      <c r="I25" s="3">
        <v>2</v>
      </c>
      <c r="J25" s="3">
        <v>3</v>
      </c>
      <c r="K25" s="3">
        <v>6</v>
      </c>
      <c r="L25" s="3" t="s">
        <v>53</v>
      </c>
      <c r="M25" s="3" t="s">
        <v>43</v>
      </c>
      <c r="N25" s="3" t="s">
        <v>145</v>
      </c>
      <c r="O25" s="1"/>
    </row>
    <row r="26" spans="1:15" x14ac:dyDescent="0.2">
      <c r="A26" s="3" t="s">
        <v>103</v>
      </c>
      <c r="B26" s="3" t="s">
        <v>106</v>
      </c>
      <c r="C26" s="3" t="s">
        <v>100</v>
      </c>
      <c r="D26" s="3" t="s">
        <v>24</v>
      </c>
      <c r="E26" s="3">
        <v>3</v>
      </c>
      <c r="F26" s="3">
        <v>4</v>
      </c>
      <c r="G26" s="3">
        <v>12</v>
      </c>
      <c r="H26" s="3" t="s">
        <v>146</v>
      </c>
      <c r="I26" s="3">
        <v>2</v>
      </c>
      <c r="J26" s="3">
        <v>3</v>
      </c>
      <c r="K26" s="3">
        <v>6</v>
      </c>
      <c r="L26" s="3" t="s">
        <v>64</v>
      </c>
      <c r="M26" s="3" t="s">
        <v>43</v>
      </c>
      <c r="N26" s="3" t="s">
        <v>147</v>
      </c>
      <c r="O26" s="1"/>
    </row>
    <row r="27" spans="1:15" x14ac:dyDescent="0.2">
      <c r="A27" s="3" t="s">
        <v>105</v>
      </c>
      <c r="B27" s="3" t="s">
        <v>108</v>
      </c>
      <c r="C27" s="3" t="s">
        <v>100</v>
      </c>
      <c r="D27" s="3" t="s">
        <v>4</v>
      </c>
      <c r="E27" s="3">
        <v>3</v>
      </c>
      <c r="F27" s="3">
        <v>4</v>
      </c>
      <c r="G27" s="3">
        <v>12</v>
      </c>
      <c r="H27" s="3" t="s">
        <v>148</v>
      </c>
      <c r="I27" s="3">
        <v>2</v>
      </c>
      <c r="J27" s="3">
        <v>3</v>
      </c>
      <c r="K27" s="3">
        <v>6</v>
      </c>
      <c r="L27" s="3" t="s">
        <v>46</v>
      </c>
      <c r="M27" s="3" t="s">
        <v>43</v>
      </c>
      <c r="N27" s="3" t="s">
        <v>149</v>
      </c>
      <c r="O27" s="1"/>
    </row>
    <row r="28" spans="1:15" x14ac:dyDescent="0.2">
      <c r="A28" s="3" t="s">
        <v>107</v>
      </c>
      <c r="B28" s="3" t="s">
        <v>110</v>
      </c>
      <c r="C28" s="3" t="s">
        <v>100</v>
      </c>
      <c r="D28" s="3" t="s">
        <v>29</v>
      </c>
      <c r="E28" s="3">
        <v>3</v>
      </c>
      <c r="F28" s="3">
        <v>4</v>
      </c>
      <c r="G28" s="3">
        <v>12</v>
      </c>
      <c r="H28" s="3" t="s">
        <v>150</v>
      </c>
      <c r="I28" s="3">
        <v>2</v>
      </c>
      <c r="J28" s="3">
        <v>3</v>
      </c>
      <c r="K28" s="3">
        <v>6</v>
      </c>
      <c r="L28" s="3" t="s">
        <v>140</v>
      </c>
      <c r="M28" s="3" t="s">
        <v>43</v>
      </c>
      <c r="N28" s="3" t="s">
        <v>151</v>
      </c>
      <c r="O28" s="1"/>
    </row>
    <row r="29" spans="1:15" x14ac:dyDescent="0.2">
      <c r="A29" s="3" t="s">
        <v>109</v>
      </c>
      <c r="B29" s="3" t="s">
        <v>111</v>
      </c>
      <c r="C29" s="3" t="s">
        <v>14</v>
      </c>
      <c r="D29" s="3" t="s">
        <v>24</v>
      </c>
      <c r="E29" s="3">
        <v>3</v>
      </c>
      <c r="F29" s="3">
        <v>5</v>
      </c>
      <c r="G29" s="3">
        <v>15</v>
      </c>
      <c r="H29" s="3" t="s">
        <v>115</v>
      </c>
      <c r="I29" s="3">
        <v>2</v>
      </c>
      <c r="J29" s="3">
        <v>4</v>
      </c>
      <c r="K29" s="3">
        <v>8</v>
      </c>
      <c r="L29" s="3" t="s">
        <v>152</v>
      </c>
      <c r="M29" s="3" t="s">
        <v>43</v>
      </c>
      <c r="N29" s="3" t="s">
        <v>153</v>
      </c>
      <c r="O29" s="1"/>
    </row>
    <row r="30" spans="1:1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C967D-DD7D-FA4D-A282-FED1F49CE6E9}">
  <dimension ref="A1:Q10"/>
  <sheetViews>
    <sheetView tabSelected="1" workbookViewId="0">
      <selection activeCell="F13" sqref="F13"/>
    </sheetView>
  </sheetViews>
  <sheetFormatPr baseColWidth="10" defaultRowHeight="16" x14ac:dyDescent="0.2"/>
  <cols>
    <col min="1" max="1" width="21.5" customWidth="1"/>
    <col min="11" max="11" width="21.83203125" customWidth="1"/>
  </cols>
  <sheetData>
    <row r="1" spans="1:17" x14ac:dyDescent="0.2">
      <c r="A1" s="8" t="s">
        <v>154</v>
      </c>
      <c r="B1" s="8"/>
      <c r="C1" s="8"/>
      <c r="D1" s="8"/>
      <c r="E1" s="8"/>
      <c r="F1" s="8"/>
      <c r="G1" s="8"/>
      <c r="K1" s="8" t="s">
        <v>157</v>
      </c>
      <c r="L1" s="8"/>
      <c r="M1" s="8"/>
      <c r="N1" s="8"/>
      <c r="O1" s="8"/>
      <c r="P1" s="8"/>
      <c r="Q1" s="8"/>
    </row>
    <row r="2" spans="1:17" x14ac:dyDescent="0.2">
      <c r="A2" s="8"/>
      <c r="B2" s="8"/>
      <c r="C2" s="8"/>
      <c r="D2" s="8"/>
      <c r="E2" s="8"/>
      <c r="F2" s="8"/>
      <c r="G2" s="8"/>
      <c r="K2" s="8"/>
      <c r="L2" s="8"/>
      <c r="M2" s="8"/>
      <c r="N2" s="8"/>
      <c r="O2" s="8"/>
      <c r="P2" s="8"/>
      <c r="Q2" s="8"/>
    </row>
    <row r="3" spans="1:17" x14ac:dyDescent="0.2">
      <c r="A3" s="9"/>
      <c r="B3" s="9"/>
      <c r="C3" s="9"/>
      <c r="D3" s="9"/>
      <c r="E3" s="9"/>
      <c r="F3" s="9"/>
      <c r="G3" s="9"/>
      <c r="K3" s="9"/>
      <c r="L3" s="9"/>
      <c r="M3" s="9"/>
      <c r="N3" s="9"/>
      <c r="O3" s="9"/>
      <c r="P3" s="9"/>
      <c r="Q3" s="9"/>
    </row>
    <row r="4" spans="1:17" ht="22" x14ac:dyDescent="0.3">
      <c r="A4" s="4"/>
      <c r="B4" s="6" t="s">
        <v>155</v>
      </c>
      <c r="C4" s="6"/>
      <c r="D4" s="6"/>
      <c r="E4" s="6"/>
      <c r="F4" s="6"/>
      <c r="G4" s="6"/>
      <c r="K4" s="4"/>
      <c r="L4" s="10" t="s">
        <v>159</v>
      </c>
      <c r="M4" s="10"/>
      <c r="N4" s="10"/>
      <c r="O4" s="10"/>
      <c r="P4" s="10"/>
      <c r="Q4" s="10"/>
    </row>
    <row r="5" spans="1:17" x14ac:dyDescent="0.2">
      <c r="A5" s="7" t="s">
        <v>156</v>
      </c>
      <c r="B5" s="5"/>
      <c r="C5" s="5">
        <v>1</v>
      </c>
      <c r="D5" s="5">
        <v>2</v>
      </c>
      <c r="E5" s="5">
        <v>3</v>
      </c>
      <c r="F5" s="5">
        <v>4</v>
      </c>
      <c r="G5" s="5">
        <v>5</v>
      </c>
      <c r="K5" s="7" t="s">
        <v>158</v>
      </c>
      <c r="L5" s="4"/>
      <c r="M5" s="4">
        <v>1</v>
      </c>
      <c r="N5" s="4">
        <v>2</v>
      </c>
      <c r="O5" s="4">
        <v>3</v>
      </c>
      <c r="P5" s="4">
        <v>4</v>
      </c>
      <c r="Q5" s="4">
        <v>5</v>
      </c>
    </row>
    <row r="6" spans="1:17" x14ac:dyDescent="0.2">
      <c r="A6" s="7"/>
      <c r="B6" s="5">
        <v>5</v>
      </c>
      <c r="C6" s="5">
        <f>COUNTIFS('Risk Register'!$E:$E,$B6,'Risk Register'!$F:$F,C$5)</f>
        <v>0</v>
      </c>
      <c r="D6" s="5">
        <f>COUNTIFS('Risk Register'!$E:$E,$B6,'Risk Register'!$F:$F,D$5)</f>
        <v>0</v>
      </c>
      <c r="E6" s="5">
        <f>COUNTIFS('Risk Register'!$E:$E,$B6,'Risk Register'!$F:$F,E$5)</f>
        <v>0</v>
      </c>
      <c r="F6" s="5">
        <f>COUNTIFS('Risk Register'!$E:$E,$B6,'Risk Register'!$F:$F,F$5)</f>
        <v>0</v>
      </c>
      <c r="G6" s="5">
        <f>COUNTIFS('Risk Register'!$E:$E,$B6,'Risk Register'!$F:$F,G$5)</f>
        <v>0</v>
      </c>
      <c r="K6" s="7"/>
      <c r="L6" s="4">
        <v>5</v>
      </c>
      <c r="M6" s="4">
        <f>COUNTIFS('Risk Register'!$I:$I,$L6,'Risk Register'!$J:$J,M$5)</f>
        <v>0</v>
      </c>
      <c r="N6" s="4">
        <f>COUNTIFS('Risk Register'!$I:$I,$L6,'Risk Register'!$J:$J,N$5)</f>
        <v>0</v>
      </c>
      <c r="O6" s="4">
        <f>COUNTIFS('Risk Register'!$I:$I,$L6,'Risk Register'!$J:$J,O$5)</f>
        <v>0</v>
      </c>
      <c r="P6" s="4">
        <f>COUNTIFS('Risk Register'!$I:$I,$L6,'Risk Register'!$J:$J,P$5)</f>
        <v>0</v>
      </c>
      <c r="Q6" s="4">
        <f>COUNTIFS('Risk Register'!$I:$I,$L6,'Risk Register'!$J:$J,Q$5)</f>
        <v>0</v>
      </c>
    </row>
    <row r="7" spans="1:17" x14ac:dyDescent="0.2">
      <c r="A7" s="7"/>
      <c r="B7" s="5">
        <v>4</v>
      </c>
      <c r="C7" s="5">
        <f>COUNTIFS('Risk Register'!$E:$E,$B7,'Risk Register'!$F:$F,C$5)</f>
        <v>0</v>
      </c>
      <c r="D7" s="5">
        <f>COUNTIFS('Risk Register'!$E:$E,$B7,'Risk Register'!$F:$F,D$5)</f>
        <v>0</v>
      </c>
      <c r="E7" s="5">
        <f>COUNTIFS('Risk Register'!$E:$E,$B7,'Risk Register'!$F:$F,E$5)</f>
        <v>0</v>
      </c>
      <c r="F7" s="5">
        <f>COUNTIFS('Risk Register'!$E:$E,$B7,'Risk Register'!$F:$F,F$5)</f>
        <v>1</v>
      </c>
      <c r="G7" s="5">
        <f>COUNTIFS('Risk Register'!$E:$E,$B7,'Risk Register'!$F:$F,G$5)</f>
        <v>5</v>
      </c>
      <c r="K7" s="7"/>
      <c r="L7" s="4">
        <v>4</v>
      </c>
      <c r="M7" s="4">
        <f>COUNTIFS('Risk Register'!$I:$I,$L7,'Risk Register'!$J:$J,M$5)</f>
        <v>0</v>
      </c>
      <c r="N7" s="4">
        <f>COUNTIFS('Risk Register'!$I:$I,$L7,'Risk Register'!$J:$J,N$5)</f>
        <v>0</v>
      </c>
      <c r="O7" s="4">
        <f>COUNTIFS('Risk Register'!$I:$I,$L7,'Risk Register'!$J:$J,O$5)</f>
        <v>0</v>
      </c>
      <c r="P7" s="4">
        <f>COUNTIFS('Risk Register'!$I:$I,$L7,'Risk Register'!$J:$J,P$5)</f>
        <v>0</v>
      </c>
      <c r="Q7" s="4">
        <f>COUNTIFS('Risk Register'!$I:$I,$L7,'Risk Register'!$J:$J,Q$5)</f>
        <v>0</v>
      </c>
    </row>
    <row r="8" spans="1:17" x14ac:dyDescent="0.2">
      <c r="A8" s="7"/>
      <c r="B8" s="5">
        <v>3</v>
      </c>
      <c r="C8" s="5">
        <f>COUNTIFS('Risk Register'!$E:$E,$B8,'Risk Register'!$F:$F,C$5)</f>
        <v>0</v>
      </c>
      <c r="D8" s="5">
        <f>COUNTIFS('Risk Register'!$E:$E,$B8,'Risk Register'!$F:$F,D$5)</f>
        <v>0</v>
      </c>
      <c r="E8" s="5">
        <f>COUNTIFS('Risk Register'!$E:$E,$B8,'Risk Register'!$F:$F,E$5)</f>
        <v>3</v>
      </c>
      <c r="F8" s="5">
        <f>COUNTIFS('Risk Register'!$E:$E,$B8,'Risk Register'!$F:$F,F$5)</f>
        <v>16</v>
      </c>
      <c r="G8" s="5">
        <f>COUNTIFS('Risk Register'!$E:$E,$B8,'Risk Register'!$F:$F,G$5)</f>
        <v>3</v>
      </c>
      <c r="K8" s="7"/>
      <c r="L8" s="4">
        <v>3</v>
      </c>
      <c r="M8" s="4">
        <f>COUNTIFS('Risk Register'!$I:$I,$L8,'Risk Register'!$J:$J,M$5)</f>
        <v>0</v>
      </c>
      <c r="N8" s="4">
        <f>COUNTIFS('Risk Register'!$I:$I,$L8,'Risk Register'!$J:$J,N$5)</f>
        <v>0</v>
      </c>
      <c r="O8" s="4">
        <f>COUNTIFS('Risk Register'!$I:$I,$L8,'Risk Register'!$J:$J,O$5)</f>
        <v>0</v>
      </c>
      <c r="P8" s="4">
        <f>COUNTIFS('Risk Register'!$I:$I,$L8,'Risk Register'!$J:$J,P$5)</f>
        <v>0</v>
      </c>
      <c r="Q8" s="4">
        <f>COUNTIFS('Risk Register'!$I:$I,$L8,'Risk Register'!$J:$J,Q$5)</f>
        <v>0</v>
      </c>
    </row>
    <row r="9" spans="1:17" x14ac:dyDescent="0.2">
      <c r="A9" s="7"/>
      <c r="B9" s="5">
        <v>2</v>
      </c>
      <c r="C9" s="5">
        <f>COUNTIFS('Risk Register'!$E:$E,$B9,'Risk Register'!$F:$F,C$5)</f>
        <v>0</v>
      </c>
      <c r="D9" s="5">
        <f>COUNTIFS('Risk Register'!$E:$E,$B9,'Risk Register'!$F:$F,D$5)</f>
        <v>0</v>
      </c>
      <c r="E9" s="5">
        <f>COUNTIFS('Risk Register'!$E:$E,$B9,'Risk Register'!$F:$F,E$5)</f>
        <v>0</v>
      </c>
      <c r="F9" s="5">
        <f>COUNTIFS('Risk Register'!$E:$E,$B9,'Risk Register'!$F:$F,F$5)</f>
        <v>0</v>
      </c>
      <c r="G9" s="5">
        <f>COUNTIFS('Risk Register'!$E:$E,$B9,'Risk Register'!$F:$F,G$5)</f>
        <v>0</v>
      </c>
      <c r="K9" s="7"/>
      <c r="L9" s="4">
        <v>2</v>
      </c>
      <c r="M9" s="4">
        <f>COUNTIFS('Risk Register'!$I:$I,$L9,'Risk Register'!$J:$J,M$5)</f>
        <v>0</v>
      </c>
      <c r="N9" s="4">
        <f>COUNTIFS('Risk Register'!$I:$I,$L9,'Risk Register'!$J:$J,N$5)</f>
        <v>0</v>
      </c>
      <c r="O9" s="4">
        <f>COUNTIFS('Risk Register'!$I:$I,$L9,'Risk Register'!$J:$J,O$5)</f>
        <v>20</v>
      </c>
      <c r="P9" s="4">
        <f>COUNTIFS('Risk Register'!$I:$I,$L9,'Risk Register'!$J:$J,P$5)</f>
        <v>8</v>
      </c>
      <c r="Q9" s="4">
        <f>COUNTIFS('Risk Register'!$I:$I,$L9,'Risk Register'!$J:$J,Q$5)</f>
        <v>0</v>
      </c>
    </row>
    <row r="10" spans="1:17" x14ac:dyDescent="0.2">
      <c r="A10" s="7"/>
      <c r="B10" s="5">
        <v>1</v>
      </c>
      <c r="C10" s="5">
        <f>COUNTIFS('Risk Register'!$E:$E,$B10,'Risk Register'!$F:$F,C$5)</f>
        <v>0</v>
      </c>
      <c r="D10" s="5">
        <f>COUNTIFS('Risk Register'!$E:$E,$B10,'Risk Register'!$F:$F,D$5)</f>
        <v>0</v>
      </c>
      <c r="E10" s="5">
        <f>COUNTIFS('Risk Register'!$E:$E,$B10,'Risk Register'!$F:$F,E$5)</f>
        <v>0</v>
      </c>
      <c r="F10" s="5">
        <f>COUNTIFS('Risk Register'!$E:$E,$B10,'Risk Register'!$F:$F,F$5)</f>
        <v>0</v>
      </c>
      <c r="G10" s="5">
        <f>COUNTIFS('Risk Register'!$E:$E,$B10,'Risk Register'!$F:$F,G$5)</f>
        <v>0</v>
      </c>
      <c r="K10" s="7"/>
      <c r="L10" s="4">
        <v>1</v>
      </c>
      <c r="M10" s="4">
        <f>COUNTIFS('Risk Register'!$I:$I,$L10,'Risk Register'!$J:$J,M$5)</f>
        <v>0</v>
      </c>
      <c r="N10" s="4">
        <f>COUNTIFS('Risk Register'!$I:$I,$L10,'Risk Register'!$J:$J,N$5)</f>
        <v>0</v>
      </c>
      <c r="O10" s="4">
        <f>COUNTIFS('Risk Register'!$I:$I,$L10,'Risk Register'!$J:$J,O$5)</f>
        <v>0</v>
      </c>
      <c r="P10" s="4">
        <f>COUNTIFS('Risk Register'!$I:$I,$L10,'Risk Register'!$J:$J,P$5)</f>
        <v>0</v>
      </c>
      <c r="Q10" s="4">
        <f>COUNTIFS('Risk Register'!$I:$I,$L10,'Risk Register'!$J:$J,Q$5)</f>
        <v>0</v>
      </c>
    </row>
  </sheetData>
  <mergeCells count="8">
    <mergeCell ref="L4:Q4"/>
    <mergeCell ref="K1:Q2"/>
    <mergeCell ref="K3:Q3"/>
    <mergeCell ref="B4:G4"/>
    <mergeCell ref="A5:A10"/>
    <mergeCell ref="A1:G2"/>
    <mergeCell ref="A3:G3"/>
    <mergeCell ref="K5:K10"/>
  </mergeCells>
  <conditionalFormatting sqref="C6:G1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:Q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Heat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Verma, Sachin</dc:creator>
  <cp:lastModifiedBy>Verma, Sachin</cp:lastModifiedBy>
  <dcterms:created xsi:type="dcterms:W3CDTF">2026-02-08T14:07:34Z</dcterms:created>
  <dcterms:modified xsi:type="dcterms:W3CDTF">2026-02-08T22:20:29Z</dcterms:modified>
</cp:coreProperties>
</file>